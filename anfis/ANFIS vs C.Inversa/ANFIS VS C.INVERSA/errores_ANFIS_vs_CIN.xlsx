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ocuments\TESIS PLAT OMNI\Tesis_final\Tesis2\Matlab\anfis\ANFIS vs C.DIRECTA\ANFIS VS C.INVERSA\"/>
    </mc:Choice>
  </mc:AlternateContent>
  <xr:revisionPtr revIDLastSave="0" documentId="13_ncr:1_{3765454A-F137-4256-8072-87627F10C5B6}" xr6:coauthVersionLast="47" xr6:coauthVersionMax="47" xr10:uidLastSave="{00000000-0000-0000-0000-000000000000}"/>
  <bookViews>
    <workbookView xWindow="-120" yWindow="-120" windowWidth="20730" windowHeight="11760" xr2:uid="{9624C61C-6092-40B8-93F1-0FF9AAB177A0}"/>
  </bookViews>
  <sheets>
    <sheet name="Hoja2" sheetId="2" r:id="rId1"/>
    <sheet name="Hoja1" sheetId="1" r:id="rId2"/>
  </sheets>
  <definedNames>
    <definedName name="_xlchart.v1.0" hidden="1">Hoja1!$A$10:$M$10</definedName>
    <definedName name="_xlchart.v1.1" hidden="1">Hoja1!$A$11:$M$11</definedName>
    <definedName name="_xlchart.v1.10" hidden="1">Hoja1!$A$9:$M$9</definedName>
    <definedName name="_xlchart.v1.11" hidden="1">Hoja1!$A$10:$M$10</definedName>
    <definedName name="_xlchart.v1.12" hidden="1">Hoja1!$A$11:$M$11</definedName>
    <definedName name="_xlchart.v1.13" hidden="1">Hoja1!$A$1:$M$1</definedName>
    <definedName name="_xlchart.v1.14" hidden="1">Hoja1!$A$2:$M$2</definedName>
    <definedName name="_xlchart.v1.15" hidden="1">Hoja1!$A$3:$M$3</definedName>
    <definedName name="_xlchart.v1.16" hidden="1">Hoja1!$A$4:$M$4</definedName>
    <definedName name="_xlchart.v1.17" hidden="1">Hoja1!$A$5:$M$5</definedName>
    <definedName name="_xlchart.v1.18" hidden="1">Hoja1!$A$6:$M$6</definedName>
    <definedName name="_xlchart.v1.19" hidden="1">Hoja1!$A$7:$M$7</definedName>
    <definedName name="_xlchart.v1.2" hidden="1">Hoja1!$A$1:$M$1</definedName>
    <definedName name="_xlchart.v1.20" hidden="1">Hoja1!$A$8:$M$8</definedName>
    <definedName name="_xlchart.v1.21" hidden="1">Hoja1!$A$9:$M$9</definedName>
    <definedName name="_xlchart.v1.3" hidden="1">Hoja1!$A$2:$M$2</definedName>
    <definedName name="_xlchart.v1.4" hidden="1">Hoja1!$A$3:$M$3</definedName>
    <definedName name="_xlchart.v1.5" hidden="1">Hoja1!$A$4:$M$4</definedName>
    <definedName name="_xlchart.v1.6" hidden="1">Hoja1!$A$5:$M$5</definedName>
    <definedName name="_xlchart.v1.7" hidden="1">Hoja1!$A$6:$M$6</definedName>
    <definedName name="_xlchart.v1.8" hidden="1">Hoja1!$A$7:$M$7</definedName>
    <definedName name="_xlchart.v1.9" hidden="1">Hoja1!$A$8:$M$8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<sst xmlns="http://schemas.openxmlformats.org/spreadsheetml/2006/main" count="18" uniqueCount="18">
  <si>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Datos</t>
  </si>
  <si>
    <t>RMSE_w1</t>
  </si>
  <si>
    <t>RMSE_w2</t>
  </si>
  <si>
    <t>RMSE_w3</t>
  </si>
  <si>
    <t>mae_w1</t>
  </si>
  <si>
    <t>mae_w2</t>
  </si>
  <si>
    <t>mae_w3</t>
  </si>
  <si>
    <t>R2_w1</t>
  </si>
  <si>
    <t>R2_w2</t>
  </si>
  <si>
    <t>R2_w3</t>
  </si>
  <si>
    <t>STD_w1</t>
  </si>
  <si>
    <t>STD_w2</t>
  </si>
  <si>
    <t>STD_w3</t>
  </si>
  <si>
    <t>Etiquetas de fila</t>
  </si>
  <si>
    <t>Total general</t>
  </si>
  <si>
    <t>Suma de RMSE_w1</t>
  </si>
  <si>
    <t>Suma de mae_w1</t>
  </si>
  <si>
    <t>Suma de STD_w1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</si>
</sst>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7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  <dxf>
      <numFmt numFmtId="167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[errores_ANFIS_vs_CIN.xlsx]Hoja2!TablaDinámica3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Suma de RMSE_w1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Hoja2!$A$2:$A$12</c:f>
              <c:strCache>
                <c:ptCount val="10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</c:strCache>
            </c:strRef>
          </c:cat>
          <c:val>
            <c:numRef>
              <c:f>Hoja2!$B$2:$B$12</c:f>
              <c:numCache>
                <c:formatCode>General</c:formatCode>
                <c:ptCount val="10"/>
                <c:pt idx="0">
                  <c:v>29.961625626207685</c:v>
                </c:pt>
                <c:pt idx="1">
                  <c:v>50.536488413294379</c:v>
                </c:pt>
                <c:pt idx="2">
                  <c:v>2.1259745366790227E-2</c:v>
                </c:pt>
                <c:pt idx="3">
                  <c:v>3.1927253023797384E-3</c:v>
                </c:pt>
                <c:pt idx="4">
                  <c:v>3.2398975431645774E-3</c:v>
                </c:pt>
                <c:pt idx="5">
                  <c:v>3.1520131829279705E-3</c:v>
                </c:pt>
                <c:pt idx="6">
                  <c:v>3.1710513517578206E-3</c:v>
                </c:pt>
                <c:pt idx="7">
                  <c:v>3.1455556824931058E-3</c:v>
                </c:pt>
                <c:pt idx="8">
                  <c:v>3.1406630983823389E-3</c:v>
                </c:pt>
                <c:pt idx="9">
                  <c:v>3.1362329771822657E-3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E4-4E9D-B4A9-CF994B8541A1}"/>
            </c:ext>
          </c:extLst>
        </c:ser>
        <c:ser>
          <c:idx val="1"/>
          <c:order val="1"/>
          <c:tx>
            <c:strRef>
              <c:f>Hoja2!$C$1</c:f>
              <c:strCache>
                <c:ptCount val="1"/>
                <c:pt idx="0">
                  <c:v>Suma de mae_w1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Hoja2!$A$2:$A$12</c:f>
              <c:strCache>
                <c:ptCount val="10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</c:strCache>
            </c:strRef>
          </c:cat>
          <c:val>
            <c:numRef>
              <c:f>Hoja2!$C$2:$C$12</c:f>
              <c:numCache>
                <c:formatCode>General</c:formatCode>
                <c:ptCount val="10"/>
                <c:pt idx="0">
                  <c:v>-25.203679855309524</c:v>
                </c:pt>
                <c:pt idx="1">
                  <c:v>-33.497595630806664</c:v>
                </c:pt>
                <c:pt idx="2">
                  <c:v>-1.7082661944982647E-2</c:v>
                </c:pt>
                <c:pt idx="3">
                  <c:v>4.1099845151393311E-4</c:v>
                </c:pt>
                <c:pt idx="4">
                  <c:v>-2.3115063011882876E-4</c:v>
                </c:pt>
                <c:pt idx="5">
                  <c:v>2.0236430740672162E-5</c:v>
                </c:pt>
                <c:pt idx="6">
                  <c:v>-3.0932261256971794E-5</c:v>
                </c:pt>
                <c:pt idx="7">
                  <c:v>1.2035081328765073E-5</c:v>
                </c:pt>
                <c:pt idx="8">
                  <c:v>-4.1632914120626197E-6</c:v>
                </c:pt>
                <c:pt idx="9">
                  <c:v>-1.6119310338534587E-6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E4-4E9D-B4A9-CF994B8541A1}"/>
            </c:ext>
          </c:extLst>
        </c:ser>
        <c:ser>
          <c:idx val="2"/>
          <c:order val="2"/>
          <c:tx>
            <c:strRef>
              <c:f>Hoja2!$D$1</c:f>
              <c:strCache>
                <c:ptCount val="1"/>
                <c:pt idx="0">
                  <c:v>Suma de STD_w1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Hoja2!$A$2:$A$12</c:f>
              <c:strCache>
                <c:ptCount val="10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</c:strCache>
            </c:strRef>
          </c:cat>
          <c:val>
            <c:numRef>
              <c:f>Hoja2!$D$2:$D$12</c:f>
              <c:numCache>
                <c:formatCode>General</c:formatCode>
                <c:ptCount val="10"/>
                <c:pt idx="0">
                  <c:v>17.077390248060279</c:v>
                </c:pt>
                <c:pt idx="1">
                  <c:v>39.886613573172077</c:v>
                </c:pt>
                <c:pt idx="2">
                  <c:v>1.3339974759854527E-2</c:v>
                </c:pt>
                <c:pt idx="3">
                  <c:v>3.3374266749013779E-3</c:v>
                </c:pt>
                <c:pt idx="4">
                  <c:v>3.4064490270334672E-3</c:v>
                </c:pt>
                <c:pt idx="5">
                  <c:v>3.3224451491538905E-3</c:v>
                </c:pt>
                <c:pt idx="6">
                  <c:v>3.3424225862719254E-3</c:v>
                </c:pt>
                <c:pt idx="7">
                  <c:v>3.3156825522360112E-3</c:v>
                </c:pt>
                <c:pt idx="8">
                  <c:v>3.3105466759946276E-3</c:v>
                </c:pt>
                <c:pt idx="9">
                  <c:v>3.3058793902923725E-3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E4-4E9D-B4A9-CF994B854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369824"/>
        <c:axId val="1573379424"/>
      </c:barChart>
      <c:catAx>
        <c:axId val="157336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3379424"/>
        <c:crosses val="autoZero"/>
        <c:auto val="1"/>
        <c:lblAlgn val="ctr"/>
        <c:lblOffset val="100"/>
        <c:noMultiLvlLbl val="0"/>
      </c:catAx>
      <c:valAx>
        <c:axId val="157337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336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0</xdr:row>
      <xdr:rowOff>85725</xdr:rowOff>
    </xdr:from>
    <xdr:to>
      <xdr:col>8</xdr:col>
      <xdr:colOff>57150</xdr:colOff>
      <xdr:row>14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FD71AB-DC82-2793-0012-E0F785353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TEBOOK" refreshedDate="46173.785255902774" createdVersion="8" refreshedVersion="8" minRefreshableVersion="3" recordCount="10" xr:uid="{F13CCCB8-3E18-49E2-B872-0171BDC1ADDD}">
  <cacheSource type="worksheet">
    <worksheetSource name="Tabla1"/>
  </cacheSource>
  <cacheFields count="13">
    <cacheField name="Datos" numFmtId="0">
      <sharedItems containsSemiMixedTypes="0" containsString="0" containsNumber="1" containsInteger="1" minValue="10" maxValue="10000" count="10">
        <n v="10"/>
        <n v="20"/>
        <n v="50"/>
        <n v="100"/>
        <n v="200"/>
        <n v="500"/>
        <n v="1000"/>
        <n v="2000"/>
        <n v="5000"/>
        <n v="10000"/>
      </sharedItems>
    </cacheField>
    <cacheField name="RMSE_w1" numFmtId="167">
      <sharedItems containsSemiMixedTypes="0" containsString="0" containsNumber="1" minValue="3.1362329771822657E-3" maxValue="50.536488413294379"/>
    </cacheField>
    <cacheField name="RMSE_w2" numFmtId="167">
      <sharedItems containsSemiMixedTypes="0" containsString="0" containsNumber="1" minValue="3.1334841330263887E-3" maxValue="99.549094725027743"/>
    </cacheField>
    <cacheField name="RMSE_w3" numFmtId="167">
      <sharedItems containsSemiMixedTypes="0" containsString="0" containsNumber="1" minValue="3.1337248865503172E-3" maxValue="219.00578332070077"/>
    </cacheField>
    <cacheField name="mae_w1" numFmtId="167">
      <sharedItems containsSemiMixedTypes="0" containsString="0" containsNumber="1" minValue="-33.497595630806664" maxValue="4.1099845151393311E-4"/>
    </cacheField>
    <cacheField name="mae_w2" numFmtId="167">
      <sharedItems containsSemiMixedTypes="0" containsString="0" containsNumber="1" minValue="-1.3765089316564172E-4" maxValue="55.505674604350915"/>
    </cacheField>
    <cacheField name="mae_w3" numFmtId="167">
      <sharedItems containsSemiMixedTypes="0" containsString="0" containsNumber="1" minValue="-217.48814535843385" maxValue="6.9086194893472454E-3"/>
    </cacheField>
    <cacheField name="R2_w1" numFmtId="167">
      <sharedItems containsSemiMixedTypes="0" containsString="0" containsNumber="1" minValue="0.95539331060639054" maxValue="0.9910786607714287"/>
    </cacheField>
    <cacheField name="R2_w2" numFmtId="167">
      <sharedItems containsSemiMixedTypes="0" containsString="0" containsNumber="1" minValue="0.74385866472803075" maxValue="0.96161615155840685"/>
    </cacheField>
    <cacheField name="R2_w3" numFmtId="167">
      <sharedItems containsSemiMixedTypes="0" containsString="0" containsNumber="1" minValue="-0.23969887218349895" maxValue="0.86621886779013102"/>
    </cacheField>
    <cacheField name="STD_w1" numFmtId="167">
      <sharedItems containsSemiMixedTypes="0" containsString="0" containsNumber="1" minValue="3.3058793902923725E-3" maxValue="39.886613573172077"/>
    </cacheField>
    <cacheField name="STD_w2" numFmtId="167">
      <sharedItems containsSemiMixedTypes="0" containsString="0" containsNumber="1" minValue="3.3029822142594434E-3" maxValue="87.108759269269953"/>
    </cacheField>
    <cacheField name="STD_w3" numFmtId="167">
      <sharedItems containsSemiMixedTypes="0" containsString="0" containsNumber="1" minValue="3.3032339417484219E-3" maxValue="53.7349635627172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9.961625626207685"/>
    <n v="99.549094725027743"/>
    <n v="219.00578332070077"/>
    <n v="-25.203679855309524"/>
    <n v="55.505674604350915"/>
    <n v="-217.48814535843385"/>
    <n v="0.97679744635379762"/>
    <n v="0.74385866472803075"/>
    <n v="-0.23969887218349895"/>
    <n v="17.077390248060279"/>
    <n v="87.108759269269953"/>
    <n v="27.13013405509103"/>
  </r>
  <r>
    <x v="1"/>
    <n v="50.536488413294379"/>
    <n v="70.289113564409206"/>
    <n v="61.611180663056913"/>
    <n v="-33.497595630806664"/>
    <n v="45.272843750347249"/>
    <n v="-34.601096868711359"/>
    <n v="0.95539331060639054"/>
    <n v="0.80808076218042535"/>
    <n v="0.33109434105247126"/>
    <n v="39.886613573172077"/>
    <n v="56.675774801615184"/>
    <n v="53.734963562717219"/>
  </r>
  <r>
    <x v="2"/>
    <n v="2.1259745366790227E-2"/>
    <n v="1.6377096753837122E-2"/>
    <n v="9.6168209776810107E-3"/>
    <n v="-1.7082661944982647E-2"/>
    <n v="1.023764403044396E-2"/>
    <n v="6.9086194893472454E-3"/>
    <n v="0.97026220317689149"/>
    <n v="0.87205383914284207"/>
    <n v="0.55406289323818547"/>
    <n v="1.3339974759854527E-2"/>
    <n v="1.347425292880452E-2"/>
    <n v="7.0517312664004688E-3"/>
  </r>
  <r>
    <x v="3"/>
    <n v="3.1927253023797384E-3"/>
    <n v="3.2997370555666629E-3"/>
    <n v="3.2494193616965316E-3"/>
    <n v="4.1099845151393311E-4"/>
    <n v="9.7550089146949406E-4"/>
    <n v="3.0380703181407396E-4"/>
    <n v="0.97769665231680158"/>
    <n v="0.90404037928677516"/>
    <n v="0.66554716986041185"/>
    <n v="3.3374266749013779E-3"/>
    <n v="3.3227603395406683E-3"/>
    <n v="3.4101853119390927E-3"/>
  </r>
  <r>
    <x v="4"/>
    <n v="3.2398975431645774E-3"/>
    <n v="3.3322891474817586E-3"/>
    <n v="3.2015872279031947E-3"/>
    <n v="-2.3115063011882876E-4"/>
    <n v="8.7325562508056012E-5"/>
    <n v="3.8243974561140702E-4"/>
    <n v="0.98215732179917903"/>
    <n v="0.923232303372019"/>
    <n v="0.73243773583534311"/>
    <n v="3.4064490270334672E-3"/>
    <n v="3.5113348535781401E-3"/>
    <n v="3.3506053547331057E-3"/>
  </r>
  <r>
    <x v="5"/>
    <n v="3.1520131829279705E-3"/>
    <n v="3.1661807994910239E-3"/>
    <n v="3.1552787215331632E-3"/>
    <n v="2.0236430740672162E-5"/>
    <n v="-1.3765089316564172E-4"/>
    <n v="-7.0330644679472701E-5"/>
    <n v="0.98513110145651728"/>
    <n v="0.93602691943349825"/>
    <n v="0.77703144648656508"/>
    <n v="3.3224451491538905E-3"/>
    <n v="3.3342920432440164E-3"/>
    <n v="3.3251294729978267E-3"/>
  </r>
  <r>
    <x v="6"/>
    <n v="3.1710513517578206E-3"/>
    <n v="3.1426004113666479E-3"/>
    <n v="3.1466994475853765E-3"/>
    <n v="-3.0932261256971794E-5"/>
    <n v="1.843946579782596E-5"/>
    <n v="1.1515809171669389E-5"/>
    <n v="0.98725522978274294"/>
    <n v="0.94516593090653278"/>
    <n v="0.80888409695192343"/>
    <n v="3.3424225862719254E-3"/>
    <n v="3.3125346675960178E-3"/>
    <n v="3.3168902436491181E-3"/>
  </r>
  <r>
    <x v="7"/>
    <n v="3.1455556824931058E-3"/>
    <n v="3.1343668231704701E-3"/>
    <n v="3.1371184476637047E-3"/>
    <n v="1.2035081328765073E-5"/>
    <n v="-2.368779218642203E-5"/>
    <n v="-8.921848366583162E-6"/>
    <n v="0.98884832602793249"/>
    <n v="0.9520201895114756"/>
    <n v="0.83277358480113672"/>
    <n v="3.3156825522360112E-3"/>
    <n v="3.3038183752024932E-3"/>
    <n v="3.3067998217971096E-3"/>
  </r>
  <r>
    <x v="8"/>
    <n v="3.1406630983823389E-3"/>
    <n v="3.1345498296744424E-3"/>
    <n v="3.1346099912512439E-3"/>
    <n v="-4.1632914120626197E-6"/>
    <n v="-5.3277857574585137E-7"/>
    <n v="-2.1803454060886906E-6"/>
    <n v="0.99008740088539049"/>
    <n v="0.95735127953753896"/>
    <n v="0.85135429757279224"/>
    <n v="3.3105466759946276E-3"/>
    <n v="3.3041055859607056E-3"/>
    <n v="3.304168250246957E-3"/>
  </r>
  <r>
    <x v="9"/>
    <n v="3.1362329771822657E-3"/>
    <n v="3.1334841330263887E-3"/>
    <n v="3.1337248865503172E-3"/>
    <n v="-1.6119310338534587E-6"/>
    <n v="6.7452601513195989E-7"/>
    <n v="3.5550046220578226E-6"/>
    <n v="0.9910786607714287"/>
    <n v="0.96161615155840685"/>
    <n v="0.86621886779013102"/>
    <n v="3.3058793902923725E-3"/>
    <n v="3.3029822142594434E-3"/>
    <n v="3.3032339417484219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BEE72-3265-4F62-9189-35EAA5790FA3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D12" firstHeaderRow="0" firstDataRow="1" firstDataCol="1"/>
  <pivotFields count="1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7" showAll="0"/>
    <pivotField numFmtId="167" showAll="0"/>
    <pivotField numFmtId="167" showAll="0"/>
    <pivotField dataField="1" numFmtId="167" showAll="0"/>
    <pivotField numFmtId="167" showAll="0"/>
    <pivotField numFmtId="167" showAll="0"/>
    <pivotField numFmtId="167" showAll="0"/>
    <pivotField numFmtId="167" showAll="0"/>
    <pivotField numFmtId="167" showAll="0"/>
    <pivotField dataField="1" numFmtId="167" showAll="0"/>
    <pivotField numFmtId="167" showAll="0"/>
    <pivotField numFmtId="167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RMSE_w1" fld="1" baseField="0" baseItem="0"/>
    <dataField name="Suma de mae_w1" fld="4" baseField="0" baseItem="0"/>
    <dataField name="Suma de STD_w1" fld="10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598A0-3F57-4AF2-978C-36D006814638}" name="Tabla1" displayName="Tabla1" ref="A1:M11" totalsRowShown="0">
  <autoFilter ref="A1:M11" xr:uid="{FD8598A0-3F57-4AF2-978C-36D006814638}"/>
  <tableColumns count="13">
    <tableColumn id="1" xr3:uid="{D2DD4165-0AD0-46AE-A136-D0995C905C10}" name="Datos"/>
    <tableColumn id="2" xr3:uid="{BD7F8848-18C9-4D03-9922-B13F358D336B}" name="RMSE_w1" dataDxfId="11"/>
    <tableColumn id="3" xr3:uid="{1B063762-AFA0-49AD-BEF7-E87F853E6F06}" name="RMSE_w2" dataDxfId="10"/>
    <tableColumn id="4" xr3:uid="{7DBD7E93-DF14-443B-AF9A-A64C1FDB0294}" name="RMSE_w3" dataDxfId="9"/>
    <tableColumn id="5" xr3:uid="{B5323F64-8396-42F7-95F9-1DC7CB9D1E1C}" name="mae_w1" dataDxfId="8"/>
    <tableColumn id="6" xr3:uid="{38ACD1DA-2E04-459E-A2F3-AB3256286D97}" name="mae_w2" dataDxfId="7"/>
    <tableColumn id="7" xr3:uid="{E38ED500-2474-47EB-B5D9-FB1B9E0C26E2}" name="mae_w3" dataDxfId="6"/>
    <tableColumn id="8" xr3:uid="{8A437122-23FF-4160-ABAD-440597C263BD}" name="R2_w1" dataDxfId="5"/>
    <tableColumn id="9" xr3:uid="{05B5F093-CC71-4CAC-9DA9-E5C49E14ACF6}" name="R2_w2" dataDxfId="4"/>
    <tableColumn id="10" xr3:uid="{11775460-E485-4100-A791-97D2A37E776C}" name="R2_w3" dataDxfId="3"/>
    <tableColumn id="11" xr3:uid="{E5DA3F6C-79E0-4803-B443-9DAAEBF08469}" name="STD_w1" dataDxfId="2"/>
    <tableColumn id="12" xr3:uid="{8F73D1EB-F5B9-4AB3-AC80-18D20DB147FE}" name="STD_w2" dataDxfId="1"/>
    <tableColumn id="13" xr3:uid="{76A2B743-659D-4B5D-9C2B-77620CED5CB1}" name="STD_w3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1101-8874-4596-B0B9-2CFC00D21E3A}">
  <dimension ref="A1:D12"/>
  <sheetViews>
    <sheetView tabSelected="1" workbookViewId="0"/>
  </sheetViews>
  <sheetFormatPr baseColWidth="10" defaultRowHeight="15" x14ac:dyDescent="0.25"/>
  <cols>
    <col min="1" max="1" width="17.5703125" bestFit="1" customWidth="1"/>
    <col min="2" max="2" width="17.7109375" bestFit="1" customWidth="1"/>
    <col min="3" max="3" width="16.5703125" bestFit="1" customWidth="1"/>
    <col min="4" max="4" width="15.85546875" bestFit="1" customWidth="1"/>
    <col min="5" max="7" width="16.5703125" bestFit="1" customWidth="1"/>
  </cols>
  <sheetData>
    <row r="1" spans="1:4" x14ac:dyDescent="0.25">
      <c r="A1" s="3" t="s">
        <v>13</v>
      </c>
      <c r="B1" t="s">
        <v>15</v>
      </c>
      <c r="C1" t="s">
        <v>16</v>
      </c>
      <c r="D1" t="s">
        <v>17</v>
      </c>
    </row>
    <row r="2" spans="1:4" x14ac:dyDescent="0.25">
      <c r="A2" s="4">
        <v>10</v>
      </c>
      <c r="B2" s="2">
        <v>29.961625626207685</v>
      </c>
      <c r="C2" s="2">
        <v>-25.203679855309524</v>
      </c>
      <c r="D2" s="2">
        <v>17.077390248060279</v>
      </c>
    </row>
    <row r="3" spans="1:4" x14ac:dyDescent="0.25">
      <c r="A3" s="4">
        <v>20</v>
      </c>
      <c r="B3" s="2">
        <v>50.536488413294379</v>
      </c>
      <c r="C3" s="2">
        <v>-33.497595630806664</v>
      </c>
      <c r="D3" s="2">
        <v>39.886613573172077</v>
      </c>
    </row>
    <row r="4" spans="1:4" x14ac:dyDescent="0.25">
      <c r="A4" s="4">
        <v>50</v>
      </c>
      <c r="B4" s="2">
        <v>2.1259745366790227E-2</v>
      </c>
      <c r="C4" s="2">
        <v>-1.7082661944982647E-2</v>
      </c>
      <c r="D4" s="2">
        <v>1.3339974759854527E-2</v>
      </c>
    </row>
    <row r="5" spans="1:4" x14ac:dyDescent="0.25">
      <c r="A5" s="4">
        <v>100</v>
      </c>
      <c r="B5" s="2">
        <v>3.1927253023797384E-3</v>
      </c>
      <c r="C5" s="2">
        <v>4.1099845151393311E-4</v>
      </c>
      <c r="D5" s="2">
        <v>3.3374266749013779E-3</v>
      </c>
    </row>
    <row r="6" spans="1:4" x14ac:dyDescent="0.25">
      <c r="A6" s="4">
        <v>200</v>
      </c>
      <c r="B6" s="2">
        <v>3.2398975431645774E-3</v>
      </c>
      <c r="C6" s="2">
        <v>-2.3115063011882876E-4</v>
      </c>
      <c r="D6" s="2">
        <v>3.4064490270334672E-3</v>
      </c>
    </row>
    <row r="7" spans="1:4" x14ac:dyDescent="0.25">
      <c r="A7" s="4">
        <v>500</v>
      </c>
      <c r="B7" s="2">
        <v>3.1520131829279705E-3</v>
      </c>
      <c r="C7" s="2">
        <v>2.0236430740672162E-5</v>
      </c>
      <c r="D7" s="2">
        <v>3.3224451491538905E-3</v>
      </c>
    </row>
    <row r="8" spans="1:4" x14ac:dyDescent="0.25">
      <c r="A8" s="4">
        <v>1000</v>
      </c>
      <c r="B8" s="2">
        <v>3.1710513517578206E-3</v>
      </c>
      <c r="C8" s="2">
        <v>-3.0932261256971794E-5</v>
      </c>
      <c r="D8" s="2">
        <v>3.3424225862719254E-3</v>
      </c>
    </row>
    <row r="9" spans="1:4" x14ac:dyDescent="0.25">
      <c r="A9" s="4">
        <v>2000</v>
      </c>
      <c r="B9" s="2">
        <v>3.1455556824931058E-3</v>
      </c>
      <c r="C9" s="2">
        <v>1.2035081328765073E-5</v>
      </c>
      <c r="D9" s="2">
        <v>3.3156825522360112E-3</v>
      </c>
    </row>
    <row r="10" spans="1:4" x14ac:dyDescent="0.25">
      <c r="A10" s="4">
        <v>5000</v>
      </c>
      <c r="B10" s="2">
        <v>3.1406630983823389E-3</v>
      </c>
      <c r="C10" s="2">
        <v>-4.1632914120626197E-6</v>
      </c>
      <c r="D10" s="2">
        <v>3.3105466759946276E-3</v>
      </c>
    </row>
    <row r="11" spans="1:4" x14ac:dyDescent="0.25">
      <c r="A11" s="4">
        <v>10000</v>
      </c>
      <c r="B11" s="2">
        <v>3.1362329771822657E-3</v>
      </c>
      <c r="C11" s="2">
        <v>-1.6119310338534587E-6</v>
      </c>
      <c r="D11" s="2">
        <v>3.3058793902923725E-3</v>
      </c>
    </row>
    <row r="12" spans="1:4" x14ac:dyDescent="0.25">
      <c r="A12" s="4" t="s">
        <v>14</v>
      </c>
      <c r="B12" s="2">
        <v>80.541551924007152</v>
      </c>
      <c r="C12" s="2">
        <v>-58.718182736211411</v>
      </c>
      <c r="D12" s="2">
        <v>57.000684648048086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9843-CEDC-419B-A966-8ED55B715584}">
  <dimension ref="A1:M11"/>
  <sheetViews>
    <sheetView workbookViewId="0"/>
  </sheetViews>
  <sheetFormatPr baseColWidth="10" defaultRowHeight="15" x14ac:dyDescent="0.25"/>
  <cols>
    <col min="2" max="4" width="11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</v>
      </c>
      <c r="B2" s="1">
        <v>29.961625626207685</v>
      </c>
      <c r="C2" s="1">
        <v>99.549094725027743</v>
      </c>
      <c r="D2" s="1">
        <v>219.00578332070077</v>
      </c>
      <c r="E2" s="1">
        <v>-25.203679855309524</v>
      </c>
      <c r="F2" s="1">
        <v>55.505674604350915</v>
      </c>
      <c r="G2" s="1">
        <v>-217.48814535843385</v>
      </c>
      <c r="H2" s="1">
        <v>0.97679744635379762</v>
      </c>
      <c r="I2" s="1">
        <v>0.74385866472803075</v>
      </c>
      <c r="J2" s="1">
        <v>-0.23969887218349895</v>
      </c>
      <c r="K2" s="1">
        <v>17.077390248060279</v>
      </c>
      <c r="L2" s="1">
        <v>87.108759269269953</v>
      </c>
      <c r="M2" s="1">
        <v>27.13013405509103</v>
      </c>
    </row>
    <row r="3" spans="1:13" x14ac:dyDescent="0.25">
      <c r="A3">
        <v>20</v>
      </c>
      <c r="B3" s="1">
        <v>50.536488413294379</v>
      </c>
      <c r="C3" s="1">
        <v>70.289113564409206</v>
      </c>
      <c r="D3" s="1">
        <v>61.611180663056913</v>
      </c>
      <c r="E3" s="1">
        <v>-33.497595630806664</v>
      </c>
      <c r="F3" s="1">
        <v>45.272843750347249</v>
      </c>
      <c r="G3" s="1">
        <v>-34.601096868711359</v>
      </c>
      <c r="H3" s="1">
        <v>0.95539331060639054</v>
      </c>
      <c r="I3" s="1">
        <v>0.80808076218042535</v>
      </c>
      <c r="J3" s="1">
        <v>0.33109434105247126</v>
      </c>
      <c r="K3" s="1">
        <v>39.886613573172077</v>
      </c>
      <c r="L3" s="1">
        <v>56.675774801615184</v>
      </c>
      <c r="M3" s="1">
        <v>53.734963562717219</v>
      </c>
    </row>
    <row r="4" spans="1:13" x14ac:dyDescent="0.25">
      <c r="A4">
        <v>50</v>
      </c>
      <c r="B4" s="1">
        <v>2.1259745366790227E-2</v>
      </c>
      <c r="C4" s="1">
        <v>1.6377096753837122E-2</v>
      </c>
      <c r="D4" s="1">
        <v>9.6168209776810107E-3</v>
      </c>
      <c r="E4" s="1">
        <v>-1.7082661944982647E-2</v>
      </c>
      <c r="F4" s="1">
        <v>1.023764403044396E-2</v>
      </c>
      <c r="G4" s="1">
        <v>6.9086194893472454E-3</v>
      </c>
      <c r="H4" s="1">
        <v>0.97026220317689149</v>
      </c>
      <c r="I4" s="1">
        <v>0.87205383914284207</v>
      </c>
      <c r="J4" s="1">
        <v>0.55406289323818547</v>
      </c>
      <c r="K4" s="1">
        <v>1.3339974759854527E-2</v>
      </c>
      <c r="L4" s="1">
        <v>1.347425292880452E-2</v>
      </c>
      <c r="M4" s="1">
        <v>7.0517312664004688E-3</v>
      </c>
    </row>
    <row r="5" spans="1:13" x14ac:dyDescent="0.25">
      <c r="A5">
        <v>100</v>
      </c>
      <c r="B5" s="1">
        <v>3.1927253023797384E-3</v>
      </c>
      <c r="C5" s="1">
        <v>3.2997370555666629E-3</v>
      </c>
      <c r="D5" s="1">
        <v>3.2494193616965316E-3</v>
      </c>
      <c r="E5" s="1">
        <v>4.1099845151393311E-4</v>
      </c>
      <c r="F5" s="1">
        <v>9.7550089146949406E-4</v>
      </c>
      <c r="G5" s="1">
        <v>3.0380703181407396E-4</v>
      </c>
      <c r="H5" s="1">
        <v>0.97769665231680158</v>
      </c>
      <c r="I5" s="1">
        <v>0.90404037928677516</v>
      </c>
      <c r="J5" s="1">
        <v>0.66554716986041185</v>
      </c>
      <c r="K5" s="1">
        <v>3.3374266749013779E-3</v>
      </c>
      <c r="L5" s="1">
        <v>3.3227603395406683E-3</v>
      </c>
      <c r="M5" s="1">
        <v>3.4101853119390927E-3</v>
      </c>
    </row>
    <row r="6" spans="1:13" x14ac:dyDescent="0.25">
      <c r="A6">
        <v>200</v>
      </c>
      <c r="B6" s="1">
        <v>3.2398975431645774E-3</v>
      </c>
      <c r="C6" s="1">
        <v>3.3322891474817586E-3</v>
      </c>
      <c r="D6" s="1">
        <v>3.2015872279031947E-3</v>
      </c>
      <c r="E6" s="1">
        <v>-2.3115063011882876E-4</v>
      </c>
      <c r="F6" s="1">
        <v>8.7325562508056012E-5</v>
      </c>
      <c r="G6" s="1">
        <v>3.8243974561140702E-4</v>
      </c>
      <c r="H6" s="1">
        <v>0.98215732179917903</v>
      </c>
      <c r="I6" s="1">
        <v>0.923232303372019</v>
      </c>
      <c r="J6" s="1">
        <v>0.73243773583534311</v>
      </c>
      <c r="K6" s="1">
        <v>3.4064490270334672E-3</v>
      </c>
      <c r="L6" s="1">
        <v>3.5113348535781401E-3</v>
      </c>
      <c r="M6" s="1">
        <v>3.3506053547331057E-3</v>
      </c>
    </row>
    <row r="7" spans="1:13" x14ac:dyDescent="0.25">
      <c r="A7">
        <v>500</v>
      </c>
      <c r="B7" s="1">
        <v>3.1520131829279705E-3</v>
      </c>
      <c r="C7" s="1">
        <v>3.1661807994910239E-3</v>
      </c>
      <c r="D7" s="1">
        <v>3.1552787215331632E-3</v>
      </c>
      <c r="E7" s="1">
        <v>2.0236430740672162E-5</v>
      </c>
      <c r="F7" s="1">
        <v>-1.3765089316564172E-4</v>
      </c>
      <c r="G7" s="1">
        <v>-7.0330644679472701E-5</v>
      </c>
      <c r="H7" s="1">
        <v>0.98513110145651728</v>
      </c>
      <c r="I7" s="1">
        <v>0.93602691943349825</v>
      </c>
      <c r="J7" s="1">
        <v>0.77703144648656508</v>
      </c>
      <c r="K7" s="1">
        <v>3.3224451491538905E-3</v>
      </c>
      <c r="L7" s="1">
        <v>3.3342920432440164E-3</v>
      </c>
      <c r="M7" s="1">
        <v>3.3251294729978267E-3</v>
      </c>
    </row>
    <row r="8" spans="1:13" x14ac:dyDescent="0.25">
      <c r="A8">
        <v>1000</v>
      </c>
      <c r="B8" s="1">
        <v>3.1710513517578206E-3</v>
      </c>
      <c r="C8" s="1">
        <v>3.1426004113666479E-3</v>
      </c>
      <c r="D8" s="1">
        <v>3.1466994475853765E-3</v>
      </c>
      <c r="E8" s="1">
        <v>-3.0932261256971794E-5</v>
      </c>
      <c r="F8" s="1">
        <v>1.843946579782596E-5</v>
      </c>
      <c r="G8" s="1">
        <v>1.1515809171669389E-5</v>
      </c>
      <c r="H8" s="1">
        <v>0.98725522978274294</v>
      </c>
      <c r="I8" s="1">
        <v>0.94516593090653278</v>
      </c>
      <c r="J8" s="1">
        <v>0.80888409695192343</v>
      </c>
      <c r="K8" s="1">
        <v>3.3424225862719254E-3</v>
      </c>
      <c r="L8" s="1">
        <v>3.3125346675960178E-3</v>
      </c>
      <c r="M8" s="1">
        <v>3.3168902436491181E-3</v>
      </c>
    </row>
    <row r="9" spans="1:13" x14ac:dyDescent="0.25">
      <c r="A9">
        <v>2000</v>
      </c>
      <c r="B9" s="1">
        <v>3.1455556824931058E-3</v>
      </c>
      <c r="C9" s="1">
        <v>3.1343668231704701E-3</v>
      </c>
      <c r="D9" s="1">
        <v>3.1371184476637047E-3</v>
      </c>
      <c r="E9" s="1">
        <v>1.2035081328765073E-5</v>
      </c>
      <c r="F9" s="1">
        <v>-2.368779218642203E-5</v>
      </c>
      <c r="G9" s="1">
        <v>-8.921848366583162E-6</v>
      </c>
      <c r="H9" s="1">
        <v>0.98884832602793249</v>
      </c>
      <c r="I9" s="1">
        <v>0.9520201895114756</v>
      </c>
      <c r="J9" s="1">
        <v>0.83277358480113672</v>
      </c>
      <c r="K9" s="1">
        <v>3.3156825522360112E-3</v>
      </c>
      <c r="L9" s="1">
        <v>3.3038183752024932E-3</v>
      </c>
      <c r="M9" s="1">
        <v>3.3067998217971096E-3</v>
      </c>
    </row>
    <row r="10" spans="1:13" x14ac:dyDescent="0.25">
      <c r="A10">
        <v>5000</v>
      </c>
      <c r="B10" s="1">
        <v>3.1406630983823389E-3</v>
      </c>
      <c r="C10" s="1">
        <v>3.1345498296744424E-3</v>
      </c>
      <c r="D10" s="1">
        <v>3.1346099912512439E-3</v>
      </c>
      <c r="E10" s="1">
        <v>-4.1632914120626197E-6</v>
      </c>
      <c r="F10" s="1">
        <v>-5.3277857574585137E-7</v>
      </c>
      <c r="G10" s="1">
        <v>-2.1803454060886906E-6</v>
      </c>
      <c r="H10" s="1">
        <v>0.99008740088539049</v>
      </c>
      <c r="I10" s="1">
        <v>0.95735127953753896</v>
      </c>
      <c r="J10" s="1">
        <v>0.85135429757279224</v>
      </c>
      <c r="K10" s="1">
        <v>3.3105466759946276E-3</v>
      </c>
      <c r="L10" s="1">
        <v>3.3041055859607056E-3</v>
      </c>
      <c r="M10" s="1">
        <v>3.304168250246957E-3</v>
      </c>
    </row>
    <row r="11" spans="1:13" x14ac:dyDescent="0.25">
      <c r="A11">
        <v>10000</v>
      </c>
      <c r="B11" s="1">
        <v>3.1362329771822657E-3</v>
      </c>
      <c r="C11" s="1">
        <v>3.1334841330263887E-3</v>
      </c>
      <c r="D11" s="1">
        <v>3.1337248865503172E-3</v>
      </c>
      <c r="E11" s="1">
        <v>-1.6119310338534587E-6</v>
      </c>
      <c r="F11" s="1">
        <v>6.7452601513195989E-7</v>
      </c>
      <c r="G11" s="1">
        <v>3.5550046220578226E-6</v>
      </c>
      <c r="H11" s="1">
        <v>0.9910786607714287</v>
      </c>
      <c r="I11" s="1">
        <v>0.96161615155840685</v>
      </c>
      <c r="J11" s="1">
        <v>0.86621886779013102</v>
      </c>
      <c r="K11" s="1">
        <v>3.3058793902923725E-3</v>
      </c>
      <c r="L11" s="1">
        <v>3.3029822142594434E-3</v>
      </c>
      <c r="M11" s="1">
        <v>3.3032339417484219E-3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2026-05-31T02:24:07Z</dcterms:created>
  <dcterms:modified xsi:type="dcterms:W3CDTF">2026-06-01T02:24:42Z</dcterms:modified>
</cp:coreProperties>
</file>